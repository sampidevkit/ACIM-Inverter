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ACIM\INV\V1\V1\Productions\HW.ACIM-MCU-ADAP\BoM\"/>
    </mc:Choice>
  </mc:AlternateContent>
  <xr:revisionPtr revIDLastSave="0" documentId="13_ncr:9_{C6716885-9D07-4E0D-A491-E8505DB08F71}" xr6:coauthVersionLast="47" xr6:coauthVersionMax="47" xr10:uidLastSave="{00000000-0000-0000-0000-000000000000}"/>
  <bookViews>
    <workbookView xWindow="-20610" yWindow="15" windowWidth="20730" windowHeight="11310" xr2:uid="{BBB60CD1-97DB-4354-A79C-33BBD4560622}"/>
  </bookViews>
  <sheets>
    <sheet name="HW.ACIM-MCU-ADAP" sheetId="1" r:id="rId1"/>
  </sheets>
  <definedNames>
    <definedName name="_xlnm._FilterDatabase" localSheetId="0" hidden="1">'HW.ACIM-MCU-ADAP'!$A$1:$J$1</definedName>
  </definedNames>
  <calcPr calcId="0"/>
</workbook>
</file>

<file path=xl/calcChain.xml><?xml version="1.0" encoding="utf-8"?>
<calcChain xmlns="http://schemas.openxmlformats.org/spreadsheetml/2006/main">
  <c r="H31" i="1" l="1"/>
  <c r="H30" i="1"/>
  <c r="H29" i="1"/>
  <c r="H18" i="1"/>
  <c r="H15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J3" i="1"/>
  <c r="J4" i="1"/>
  <c r="J5" i="1"/>
  <c r="J6" i="1"/>
  <c r="J7" i="1"/>
  <c r="J8" i="1"/>
  <c r="J9" i="1"/>
  <c r="J10" i="1"/>
  <c r="H14" i="1"/>
  <c r="H11" i="1"/>
  <c r="J11" i="1"/>
  <c r="J34" i="1" l="1"/>
</calcChain>
</file>

<file path=xl/sharedStrings.xml><?xml version="1.0" encoding="utf-8"?>
<sst xmlns="http://schemas.openxmlformats.org/spreadsheetml/2006/main" count="138" uniqueCount="120">
  <si>
    <t>Reference</t>
  </si>
  <si>
    <t>MFT</t>
  </si>
  <si>
    <t>MNP</t>
  </si>
  <si>
    <t>Description</t>
  </si>
  <si>
    <t>WE</t>
  </si>
  <si>
    <t>CAP CER 100PF 2000V X7R 1206</t>
  </si>
  <si>
    <t>Samsung</t>
  </si>
  <si>
    <t>CL10B102KB8NNNC</t>
  </si>
  <si>
    <t>CAP CER 1nF 50V X7R 0603</t>
  </si>
  <si>
    <t>CL10B104KB8NNNC</t>
  </si>
  <si>
    <t>CAP CER 0.1UF 50V X7R 0603</t>
  </si>
  <si>
    <t>Walsin</t>
  </si>
  <si>
    <t>0402B104K500CT</t>
  </si>
  <si>
    <t>CAP CER 0.1UF 50V X7R 0402</t>
  </si>
  <si>
    <t>0402B102K500CT</t>
  </si>
  <si>
    <t>Murata</t>
  </si>
  <si>
    <t>GRM155C80J106ME11D</t>
  </si>
  <si>
    <t>CAP CER 10UF 6.3V X6S 0402</t>
  </si>
  <si>
    <t>C18</t>
  </si>
  <si>
    <t>GRM155R71H104ME14D</t>
  </si>
  <si>
    <t>CL05A106MQ5NUNC</t>
  </si>
  <si>
    <t>CAP CER 10UF 6.3V X5R 0402</t>
  </si>
  <si>
    <t>GRM1555C1H220JA01D</t>
  </si>
  <si>
    <t>CAP CER 22PF 50V C0G/NP0 0402</t>
  </si>
  <si>
    <t>ANBON</t>
  </si>
  <si>
    <t>MMBD4148SE</t>
  </si>
  <si>
    <t>DIODE ARRAY GP 75V 150MA SOT23</t>
  </si>
  <si>
    <t>D101</t>
  </si>
  <si>
    <t>Harvatek</t>
  </si>
  <si>
    <t>B1931NG--20D001114U1930</t>
  </si>
  <si>
    <t>LED GREEN DIFFUSED 0603 SMD</t>
  </si>
  <si>
    <t>D102</t>
  </si>
  <si>
    <t>B1931URO-20D000114U1930</t>
  </si>
  <si>
    <t>LED RED DIFFUSED 0603 SMD</t>
  </si>
  <si>
    <t>TDK</t>
  </si>
  <si>
    <t>MPZ1608S102ATA00</t>
  </si>
  <si>
    <t>FERRITE BEAD 1 KOHM 0603 1LN</t>
  </si>
  <si>
    <t>BLM15AX102SN1D</t>
  </si>
  <si>
    <t>FERRITE BEAD 1 KOHM 0402 1LN</t>
  </si>
  <si>
    <t>J5</t>
  </si>
  <si>
    <t>Amphenol ICC (FCI)</t>
  </si>
  <si>
    <t>10147606-00004LF</t>
  </si>
  <si>
    <t>CONN HEADER SMD R/A 4POS 1MM</t>
  </si>
  <si>
    <t>Amphenol</t>
  </si>
  <si>
    <t>10152265-1301HF</t>
  </si>
  <si>
    <t>MINITEK127 1.27MM, VERTICAL HEAD</t>
  </si>
  <si>
    <t>MD1</t>
  </si>
  <si>
    <t>Mornsun America, LLC</t>
  </si>
  <si>
    <t>B0505S-1WR3</t>
  </si>
  <si>
    <t>DC DC CONVERTER 5V 1W</t>
  </si>
  <si>
    <t>YAGEO</t>
  </si>
  <si>
    <t>RC0603FR-07100KL</t>
  </si>
  <si>
    <t>RES 100K OHM 1% 1/10W 0603</t>
  </si>
  <si>
    <t>RC0603FR-07100RL</t>
  </si>
  <si>
    <t>RES 100R OHM 1% 1/10W 0603</t>
  </si>
  <si>
    <t>RC0603FR-0710RL</t>
  </si>
  <si>
    <t>RES 10 OHM 1% 1/10W 0603</t>
  </si>
  <si>
    <t>RC0603FR-0710KL</t>
  </si>
  <si>
    <t>RES 10K OHM 1% 1/10W 0603</t>
  </si>
  <si>
    <t>RC0603FR-074K99L</t>
  </si>
  <si>
    <t>RES 4.99K OHM 1% 1/10W 0603</t>
  </si>
  <si>
    <t>RC0402FR-0710RL</t>
  </si>
  <si>
    <t>RES 10 OHM 1% 1/16W 0402</t>
  </si>
  <si>
    <t>Yageo</t>
  </si>
  <si>
    <t>RC0402JR-072K2L</t>
  </si>
  <si>
    <t>RES 2.2K OHM 5% 1/16W 0402</t>
  </si>
  <si>
    <t>RC0402JR-071KL</t>
  </si>
  <si>
    <t>RES 1K OHM 5% 1/16W 0402</t>
  </si>
  <si>
    <t>R103</t>
  </si>
  <si>
    <t>RC0402JR-0710KL</t>
  </si>
  <si>
    <t>RES 10K OHM 5% 1/16W 0402</t>
  </si>
  <si>
    <t>Essentra</t>
  </si>
  <si>
    <t>50M025045P012</t>
  </si>
  <si>
    <t>PAN PHILLIPS SCREW, M2.5 X 4.5 T</t>
  </si>
  <si>
    <t>Texas Instruments</t>
  </si>
  <si>
    <t>AMC1200BDWVR</t>
  </si>
  <si>
    <t>IC OPAMP ISOLATION 1 CIRC 8SOIC 7.5MM</t>
  </si>
  <si>
    <t>Microchip</t>
  </si>
  <si>
    <t>MCP6486UT-E/OT</t>
  </si>
  <si>
    <t>SINGLE, 10MHZ OP AMP, E TEMP</t>
  </si>
  <si>
    <t>U5</t>
  </si>
  <si>
    <t>MCP1700T-3302E/TT</t>
  </si>
  <si>
    <t>IC REG LINEAR 3.3V 250MA SOT23-3</t>
  </si>
  <si>
    <t>U101</t>
  </si>
  <si>
    <t>PIC32MK1024MCM064-I/PT</t>
  </si>
  <si>
    <t>IC MCU 32BIT 1MB FLASH 64TQFP</t>
  </si>
  <si>
    <t>U102</t>
  </si>
  <si>
    <t>Abracon</t>
  </si>
  <si>
    <t>ABM10-167-12.000MHZ-T3</t>
  </si>
  <si>
    <t>CRYSTAL 12.0000MHZ 8PF SMD</t>
  </si>
  <si>
    <t>No</t>
  </si>
  <si>
    <t>885342208022</t>
  </si>
  <si>
    <t>C1, C2, C10</t>
  </si>
  <si>
    <t>C3, C4, C65</t>
  </si>
  <si>
    <t>C5, C6, C67</t>
  </si>
  <si>
    <t>C7, C8, C12, C13, C20, C69, C73, C110, C112, C121, C123, C125, C127</t>
  </si>
  <si>
    <t>C9, C11, C14, C15, C21, C22, C23, C24, C25, C26, C27, C28, C71, C74</t>
  </si>
  <si>
    <t>C16, C17</t>
  </si>
  <si>
    <t>C19, C29, C113, C122, C124, C126, C128</t>
  </si>
  <si>
    <t>C101, C119, C120</t>
  </si>
  <si>
    <t>D1, D2, D14</t>
  </si>
  <si>
    <t>FT1, FT2, FT3, FT4, FT5</t>
  </si>
  <si>
    <t>FT6, FT7, FT8, FT9, FT10, FT11, FT12, FT13</t>
  </si>
  <si>
    <t>J101, J102</t>
  </si>
  <si>
    <t>R1, R2, R3, R5, R6, R7, R27, R28, R29</t>
  </si>
  <si>
    <t>R4, R8, R30</t>
  </si>
  <si>
    <t>R9, R10, R11, R12, R33, R34</t>
  </si>
  <si>
    <t>R13, R14, R15, R16, R37, R38</t>
  </si>
  <si>
    <t>R17, R18, R19, R20, R39, R40</t>
  </si>
  <si>
    <t>R21, R22, R41</t>
  </si>
  <si>
    <t>R23, R24</t>
  </si>
  <si>
    <t>R101, R102</t>
  </si>
  <si>
    <t>SH5, SH7, SH8</t>
  </si>
  <si>
    <t>U1, U2, U15</t>
  </si>
  <si>
    <t>U3, U4, U17</t>
  </si>
  <si>
    <t>Link</t>
  </si>
  <si>
    <t>Unit Price</t>
  </si>
  <si>
    <t>Sub-Cost</t>
  </si>
  <si>
    <t>Q.ty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</si>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</sst>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quotePrefix="1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hkien.cxtvn.com/2044-bat54s-diode-schottky-02a-30v-sot-23-10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F766-ADFA-4A5C-BE97-9F11A96845F3}">
  <dimension ref="A1:J34"/>
  <sheetViews>
    <sheetView tabSelected="1" workbookViewId="0">
      <selection activeCell="L24" sqref="L24"/>
    </sheetView>
  </sheetViews>
  <sheetFormatPr defaultRowHeight="15" x14ac:dyDescent="0.25"/>
  <cols>
    <col min="1" max="1" width="8.140625" style="8" bestFit="1" customWidth="1"/>
    <col min="2" max="2" width="25.85546875" style="2" bestFit="1" customWidth="1"/>
    <col min="3" max="3" width="20.7109375" style="2" bestFit="1" customWidth="1"/>
    <col min="4" max="4" width="38" style="2" bestFit="1" customWidth="1"/>
    <col min="5" max="5" width="59.5703125" style="2" hidden="1" customWidth="1"/>
    <col min="6" max="6" width="9.28515625" style="2" bestFit="1" customWidth="1"/>
    <col min="7" max="7" width="9.28515625" style="2" customWidth="1"/>
    <col min="8" max="8" width="12" style="6" bestFit="1" customWidth="1"/>
    <col min="9" max="9" width="14.28515625" style="2" bestFit="1" customWidth="1"/>
    <col min="10" max="10" width="13.42578125" style="2" bestFit="1" customWidth="1"/>
    <col min="11" max="16384" width="9.140625" style="2"/>
  </cols>
  <sheetData>
    <row r="1" spans="1:10" s="8" customFormat="1" x14ac:dyDescent="0.25">
      <c r="A1" s="7" t="s">
        <v>90</v>
      </c>
      <c r="B1" s="7" t="s">
        <v>2</v>
      </c>
      <c r="C1" s="7" t="s">
        <v>1</v>
      </c>
      <c r="D1" s="7" t="s">
        <v>3</v>
      </c>
      <c r="E1" s="7" t="s">
        <v>0</v>
      </c>
      <c r="F1" s="7" t="s">
        <v>118</v>
      </c>
      <c r="G1" s="7" t="s">
        <v>119</v>
      </c>
      <c r="H1" s="7" t="s">
        <v>115</v>
      </c>
      <c r="I1" s="7" t="s">
        <v>116</v>
      </c>
      <c r="J1" s="7" t="s">
        <v>117</v>
      </c>
    </row>
    <row r="2" spans="1:10" x14ac:dyDescent="0.25">
      <c r="A2" s="7">
        <v>1</v>
      </c>
      <c r="B2" s="3" t="s">
        <v>91</v>
      </c>
      <c r="C2" s="1" t="s">
        <v>4</v>
      </c>
      <c r="D2" s="1" t="s">
        <v>5</v>
      </c>
      <c r="E2" s="1" t="s">
        <v>92</v>
      </c>
      <c r="F2" s="4">
        <v>3</v>
      </c>
      <c r="G2" s="4"/>
      <c r="H2" s="5"/>
      <c r="I2" s="4"/>
      <c r="J2" s="4">
        <f t="shared" ref="J2:J10" si="0">G2*I2</f>
        <v>0</v>
      </c>
    </row>
    <row r="3" spans="1:10" x14ac:dyDescent="0.25">
      <c r="A3" s="7">
        <v>2</v>
      </c>
      <c r="B3" s="1" t="s">
        <v>7</v>
      </c>
      <c r="C3" s="1" t="s">
        <v>6</v>
      </c>
      <c r="D3" s="1" t="s">
        <v>8</v>
      </c>
      <c r="E3" s="1" t="s">
        <v>93</v>
      </c>
      <c r="F3" s="4">
        <v>3</v>
      </c>
      <c r="G3" s="4"/>
      <c r="H3" s="5"/>
      <c r="I3" s="4"/>
      <c r="J3" s="4">
        <f t="shared" si="0"/>
        <v>0</v>
      </c>
    </row>
    <row r="4" spans="1:10" x14ac:dyDescent="0.25">
      <c r="A4" s="7">
        <v>3</v>
      </c>
      <c r="B4" s="1" t="s">
        <v>9</v>
      </c>
      <c r="C4" s="1" t="s">
        <v>6</v>
      </c>
      <c r="D4" s="1" t="s">
        <v>10</v>
      </c>
      <c r="E4" s="1" t="s">
        <v>94</v>
      </c>
      <c r="F4" s="4">
        <v>3</v>
      </c>
      <c r="G4" s="4"/>
      <c r="H4" s="5"/>
      <c r="I4" s="4"/>
      <c r="J4" s="4">
        <f t="shared" si="0"/>
        <v>0</v>
      </c>
    </row>
    <row r="5" spans="1:10" x14ac:dyDescent="0.25">
      <c r="A5" s="7">
        <v>4</v>
      </c>
      <c r="B5" s="1" t="s">
        <v>12</v>
      </c>
      <c r="C5" s="1" t="s">
        <v>11</v>
      </c>
      <c r="D5" s="1" t="s">
        <v>13</v>
      </c>
      <c r="E5" s="1" t="s">
        <v>95</v>
      </c>
      <c r="F5" s="4">
        <v>13</v>
      </c>
      <c r="G5" s="4"/>
      <c r="H5" s="5"/>
      <c r="I5" s="4"/>
      <c r="J5" s="4">
        <f t="shared" si="0"/>
        <v>0</v>
      </c>
    </row>
    <row r="6" spans="1:10" x14ac:dyDescent="0.25">
      <c r="A6" s="7">
        <v>5</v>
      </c>
      <c r="B6" s="1" t="s">
        <v>14</v>
      </c>
      <c r="C6" s="1" t="s">
        <v>6</v>
      </c>
      <c r="D6" s="1" t="s">
        <v>13</v>
      </c>
      <c r="E6" s="1" t="s">
        <v>96</v>
      </c>
      <c r="F6" s="4">
        <v>14</v>
      </c>
      <c r="G6" s="4"/>
      <c r="H6" s="5"/>
      <c r="I6" s="4"/>
      <c r="J6" s="4">
        <f t="shared" si="0"/>
        <v>0</v>
      </c>
    </row>
    <row r="7" spans="1:10" x14ac:dyDescent="0.25">
      <c r="A7" s="7">
        <v>6</v>
      </c>
      <c r="B7" s="1" t="s">
        <v>16</v>
      </c>
      <c r="C7" s="1" t="s">
        <v>15</v>
      </c>
      <c r="D7" s="1" t="s">
        <v>17</v>
      </c>
      <c r="E7" s="1" t="s">
        <v>97</v>
      </c>
      <c r="F7" s="4">
        <v>2</v>
      </c>
      <c r="G7" s="4"/>
      <c r="H7" s="5"/>
      <c r="I7" s="4"/>
      <c r="J7" s="4">
        <f t="shared" si="0"/>
        <v>0</v>
      </c>
    </row>
    <row r="8" spans="1:10" x14ac:dyDescent="0.25">
      <c r="A8" s="7">
        <v>7</v>
      </c>
      <c r="B8" s="1" t="s">
        <v>19</v>
      </c>
      <c r="C8" s="1" t="s">
        <v>15</v>
      </c>
      <c r="D8" s="1" t="s">
        <v>13</v>
      </c>
      <c r="E8" s="1" t="s">
        <v>18</v>
      </c>
      <c r="F8" s="4">
        <v>1</v>
      </c>
      <c r="G8" s="4"/>
      <c r="H8" s="5"/>
      <c r="I8" s="4"/>
      <c r="J8" s="4">
        <f t="shared" si="0"/>
        <v>0</v>
      </c>
    </row>
    <row r="9" spans="1:10" x14ac:dyDescent="0.25">
      <c r="A9" s="7">
        <v>8</v>
      </c>
      <c r="B9" s="1" t="s">
        <v>20</v>
      </c>
      <c r="C9" s="1" t="s">
        <v>6</v>
      </c>
      <c r="D9" s="1" t="s">
        <v>21</v>
      </c>
      <c r="E9" s="1" t="s">
        <v>98</v>
      </c>
      <c r="F9" s="4">
        <v>7</v>
      </c>
      <c r="G9" s="4"/>
      <c r="H9" s="5"/>
      <c r="I9" s="4"/>
      <c r="J9" s="4">
        <f t="shared" si="0"/>
        <v>0</v>
      </c>
    </row>
    <row r="10" spans="1:10" x14ac:dyDescent="0.25">
      <c r="A10" s="7">
        <v>9</v>
      </c>
      <c r="B10" s="1" t="s">
        <v>22</v>
      </c>
      <c r="C10" s="1" t="s">
        <v>15</v>
      </c>
      <c r="D10" s="1" t="s">
        <v>23</v>
      </c>
      <c r="E10" s="1" t="s">
        <v>99</v>
      </c>
      <c r="F10" s="4">
        <v>3</v>
      </c>
      <c r="G10" s="4"/>
      <c r="H10" s="5"/>
      <c r="I10" s="4"/>
      <c r="J10" s="4">
        <f t="shared" si="0"/>
        <v>0</v>
      </c>
    </row>
    <row r="11" spans="1:10" x14ac:dyDescent="0.25">
      <c r="A11" s="7">
        <v>10</v>
      </c>
      <c r="B11" s="1" t="s">
        <v>25</v>
      </c>
      <c r="C11" s="1" t="s">
        <v>24</v>
      </c>
      <c r="D11" s="1" t="s">
        <v>26</v>
      </c>
      <c r="E11" s="1" t="s">
        <v>100</v>
      </c>
      <c r="F11" s="4">
        <v>3</v>
      </c>
      <c r="G11" s="4">
        <v>10</v>
      </c>
      <c r="H11" s="9" t="str">
        <f>HYPERLINK("https://linhkien.cxtvn.com/2044-bat54s-diode-schottky-02a-30v-sot-23-10c.html","CXT")</f>
        <v>CXT</v>
      </c>
      <c r="I11" s="4">
        <v>200</v>
      </c>
      <c r="J11" s="4">
        <f>G11*I11</f>
        <v>2000</v>
      </c>
    </row>
    <row r="12" spans="1:10" x14ac:dyDescent="0.25">
      <c r="A12" s="7">
        <v>11</v>
      </c>
      <c r="B12" s="1" t="s">
        <v>29</v>
      </c>
      <c r="C12" s="1" t="s">
        <v>28</v>
      </c>
      <c r="D12" s="1" t="s">
        <v>30</v>
      </c>
      <c r="E12" s="1" t="s">
        <v>27</v>
      </c>
      <c r="F12" s="4">
        <v>1</v>
      </c>
      <c r="G12" s="4"/>
      <c r="H12" s="5"/>
      <c r="I12" s="4"/>
      <c r="J12" s="4">
        <f t="shared" ref="J12:J33" si="1">G12*I12</f>
        <v>0</v>
      </c>
    </row>
    <row r="13" spans="1:10" x14ac:dyDescent="0.25">
      <c r="A13" s="7">
        <v>12</v>
      </c>
      <c r="B13" s="1" t="s">
        <v>32</v>
      </c>
      <c r="C13" s="1" t="s">
        <v>28</v>
      </c>
      <c r="D13" s="1" t="s">
        <v>33</v>
      </c>
      <c r="E13" s="1" t="s">
        <v>31</v>
      </c>
      <c r="F13" s="4">
        <v>1</v>
      </c>
      <c r="G13" s="4"/>
      <c r="H13" s="5"/>
      <c r="I13" s="4"/>
      <c r="J13" s="4">
        <f t="shared" si="1"/>
        <v>0</v>
      </c>
    </row>
    <row r="14" spans="1:10" x14ac:dyDescent="0.25">
      <c r="A14" s="7">
        <v>13</v>
      </c>
      <c r="B14" s="1" t="s">
        <v>35</v>
      </c>
      <c r="C14" s="1" t="s">
        <v>34</v>
      </c>
      <c r="D14" s="1" t="s">
        <v>36</v>
      </c>
      <c r="E14" s="1" t="s">
        <v>101</v>
      </c>
      <c r="F14" s="4">
        <v>5</v>
      </c>
      <c r="G14" s="4">
        <v>10</v>
      </c>
      <c r="H14" s="9" t="str">
        <f>HYPERLINK("https://linhkien.cxtvn.com/9545-blm18sg121tn1d-ferrite-bead-120-ohm-0603-1ln-10c.html","CXT")</f>
        <v>CXT</v>
      </c>
      <c r="I14" s="4">
        <v>250</v>
      </c>
      <c r="J14" s="4">
        <f t="shared" si="1"/>
        <v>2500</v>
      </c>
    </row>
    <row r="15" spans="1:10" x14ac:dyDescent="0.25">
      <c r="A15" s="7">
        <v>14</v>
      </c>
      <c r="B15" s="1" t="s">
        <v>37</v>
      </c>
      <c r="C15" s="1" t="s">
        <v>34</v>
      </c>
      <c r="D15" s="1" t="s">
        <v>38</v>
      </c>
      <c r="E15" s="1" t="s">
        <v>102</v>
      </c>
      <c r="F15" s="4">
        <v>8</v>
      </c>
      <c r="G15" s="4">
        <v>10</v>
      </c>
      <c r="H15" s="9" t="str">
        <f>HYPERLINK("https://linhkien.cxtvn.com/7966-ferrite-bead-120-ohm-0402-1ln-18a-100-mhz-10c.html","CXT")</f>
        <v>CXT</v>
      </c>
      <c r="I15" s="4">
        <v>110</v>
      </c>
      <c r="J15" s="4">
        <f t="shared" si="1"/>
        <v>1100</v>
      </c>
    </row>
    <row r="16" spans="1:10" x14ac:dyDescent="0.25">
      <c r="A16" s="7">
        <v>15</v>
      </c>
      <c r="B16" s="1" t="s">
        <v>41</v>
      </c>
      <c r="C16" s="1" t="s">
        <v>40</v>
      </c>
      <c r="D16" s="1" t="s">
        <v>42</v>
      </c>
      <c r="E16" s="1" t="s">
        <v>39</v>
      </c>
      <c r="F16" s="4">
        <v>1</v>
      </c>
      <c r="G16" s="4"/>
      <c r="H16" s="5"/>
      <c r="I16" s="4"/>
      <c r="J16" s="4">
        <f t="shared" si="1"/>
        <v>0</v>
      </c>
    </row>
    <row r="17" spans="1:10" x14ac:dyDescent="0.25">
      <c r="A17" s="7">
        <v>16</v>
      </c>
      <c r="B17" s="1" t="s">
        <v>44</v>
      </c>
      <c r="C17" s="1" t="s">
        <v>43</v>
      </c>
      <c r="D17" s="1" t="s">
        <v>45</v>
      </c>
      <c r="E17" s="1" t="s">
        <v>103</v>
      </c>
      <c r="F17" s="4">
        <v>2</v>
      </c>
      <c r="G17" s="4"/>
      <c r="H17" s="5"/>
      <c r="I17" s="4"/>
      <c r="J17" s="4">
        <f t="shared" si="1"/>
        <v>0</v>
      </c>
    </row>
    <row r="18" spans="1:10" x14ac:dyDescent="0.25">
      <c r="A18" s="7">
        <v>17</v>
      </c>
      <c r="B18" s="1" t="s">
        <v>48</v>
      </c>
      <c r="C18" s="1" t="s">
        <v>47</v>
      </c>
      <c r="D18" s="1" t="s">
        <v>49</v>
      </c>
      <c r="E18" s="1" t="s">
        <v>46</v>
      </c>
      <c r="F18" s="4">
        <v>1</v>
      </c>
      <c r="G18" s="4">
        <v>1</v>
      </c>
      <c r="H18" s="9" t="str">
        <f>HYPERLINK("https://banlinhkien.com/b0305s1w-sip4-nguon-cach-ly-3.3v5v-chan-hep-p6652541.html","BanLinhKien")</f>
        <v>BanLinhKien</v>
      </c>
      <c r="I18" s="4">
        <v>52000</v>
      </c>
      <c r="J18" s="4">
        <f t="shared" si="1"/>
        <v>52000</v>
      </c>
    </row>
    <row r="19" spans="1:10" x14ac:dyDescent="0.25">
      <c r="A19" s="7">
        <v>18</v>
      </c>
      <c r="B19" s="1" t="s">
        <v>51</v>
      </c>
      <c r="C19" s="1" t="s">
        <v>50</v>
      </c>
      <c r="D19" s="1" t="s">
        <v>52</v>
      </c>
      <c r="E19" s="1" t="s">
        <v>104</v>
      </c>
      <c r="F19" s="4">
        <v>9</v>
      </c>
      <c r="G19" s="4"/>
      <c r="H19" s="5"/>
      <c r="I19" s="4"/>
      <c r="J19" s="4">
        <f t="shared" si="1"/>
        <v>0</v>
      </c>
    </row>
    <row r="20" spans="1:10" x14ac:dyDescent="0.25">
      <c r="A20" s="7">
        <v>19</v>
      </c>
      <c r="B20" s="1" t="s">
        <v>53</v>
      </c>
      <c r="C20" s="1" t="s">
        <v>50</v>
      </c>
      <c r="D20" s="1" t="s">
        <v>54</v>
      </c>
      <c r="E20" s="1" t="s">
        <v>105</v>
      </c>
      <c r="F20" s="4">
        <v>3</v>
      </c>
      <c r="G20" s="4"/>
      <c r="H20" s="5"/>
      <c r="I20" s="4"/>
      <c r="J20" s="4">
        <f t="shared" si="1"/>
        <v>0</v>
      </c>
    </row>
    <row r="21" spans="1:10" x14ac:dyDescent="0.25">
      <c r="A21" s="7">
        <v>20</v>
      </c>
      <c r="B21" s="1" t="s">
        <v>55</v>
      </c>
      <c r="C21" s="1" t="s">
        <v>50</v>
      </c>
      <c r="D21" s="1" t="s">
        <v>56</v>
      </c>
      <c r="E21" s="1" t="s">
        <v>106</v>
      </c>
      <c r="F21" s="4">
        <v>6</v>
      </c>
      <c r="G21" s="4"/>
      <c r="H21" s="5"/>
      <c r="I21" s="4"/>
      <c r="J21" s="4">
        <f t="shared" si="1"/>
        <v>0</v>
      </c>
    </row>
    <row r="22" spans="1:10" x14ac:dyDescent="0.25">
      <c r="A22" s="7">
        <v>21</v>
      </c>
      <c r="B22" s="1" t="s">
        <v>57</v>
      </c>
      <c r="C22" s="1" t="s">
        <v>50</v>
      </c>
      <c r="D22" s="1" t="s">
        <v>58</v>
      </c>
      <c r="E22" s="1" t="s">
        <v>107</v>
      </c>
      <c r="F22" s="4">
        <v>6</v>
      </c>
      <c r="G22" s="4"/>
      <c r="H22" s="5"/>
      <c r="I22" s="4"/>
      <c r="J22" s="4">
        <f t="shared" si="1"/>
        <v>0</v>
      </c>
    </row>
    <row r="23" spans="1:10" x14ac:dyDescent="0.25">
      <c r="A23" s="7">
        <v>22</v>
      </c>
      <c r="B23" s="1" t="s">
        <v>59</v>
      </c>
      <c r="C23" s="1" t="s">
        <v>50</v>
      </c>
      <c r="D23" s="1" t="s">
        <v>60</v>
      </c>
      <c r="E23" s="1" t="s">
        <v>108</v>
      </c>
      <c r="F23" s="4">
        <v>6</v>
      </c>
      <c r="G23" s="4"/>
      <c r="H23" s="5"/>
      <c r="I23" s="4"/>
      <c r="J23" s="4">
        <f t="shared" si="1"/>
        <v>0</v>
      </c>
    </row>
    <row r="24" spans="1:10" x14ac:dyDescent="0.25">
      <c r="A24" s="7">
        <v>23</v>
      </c>
      <c r="B24" s="1" t="s">
        <v>61</v>
      </c>
      <c r="C24" s="1" t="s">
        <v>50</v>
      </c>
      <c r="D24" s="1" t="s">
        <v>62</v>
      </c>
      <c r="E24" s="1" t="s">
        <v>109</v>
      </c>
      <c r="F24" s="4">
        <v>3</v>
      </c>
      <c r="G24" s="4"/>
      <c r="H24" s="5"/>
      <c r="I24" s="4"/>
      <c r="J24" s="4">
        <f t="shared" si="1"/>
        <v>0</v>
      </c>
    </row>
    <row r="25" spans="1:10" x14ac:dyDescent="0.25">
      <c r="A25" s="7">
        <v>24</v>
      </c>
      <c r="B25" s="1" t="s">
        <v>64</v>
      </c>
      <c r="C25" s="1" t="s">
        <v>63</v>
      </c>
      <c r="D25" s="1" t="s">
        <v>65</v>
      </c>
      <c r="E25" s="1" t="s">
        <v>110</v>
      </c>
      <c r="F25" s="4">
        <v>2</v>
      </c>
      <c r="G25" s="4"/>
      <c r="H25" s="5"/>
      <c r="I25" s="4"/>
      <c r="J25" s="4">
        <f t="shared" si="1"/>
        <v>0</v>
      </c>
    </row>
    <row r="26" spans="1:10" x14ac:dyDescent="0.25">
      <c r="A26" s="7">
        <v>25</v>
      </c>
      <c r="B26" s="1" t="s">
        <v>66</v>
      </c>
      <c r="C26" s="1" t="s">
        <v>63</v>
      </c>
      <c r="D26" s="1" t="s">
        <v>67</v>
      </c>
      <c r="E26" s="1" t="s">
        <v>111</v>
      </c>
      <c r="F26" s="4">
        <v>2</v>
      </c>
      <c r="G26" s="4"/>
      <c r="H26" s="5"/>
      <c r="I26" s="4"/>
      <c r="J26" s="4">
        <f t="shared" si="1"/>
        <v>0</v>
      </c>
    </row>
    <row r="27" spans="1:10" x14ac:dyDescent="0.25">
      <c r="A27" s="7">
        <v>26</v>
      </c>
      <c r="B27" s="1" t="s">
        <v>69</v>
      </c>
      <c r="C27" s="1" t="s">
        <v>63</v>
      </c>
      <c r="D27" s="1" t="s">
        <v>70</v>
      </c>
      <c r="E27" s="1" t="s">
        <v>68</v>
      </c>
      <c r="F27" s="4">
        <v>1</v>
      </c>
      <c r="G27" s="4"/>
      <c r="H27" s="5"/>
      <c r="I27" s="4"/>
      <c r="J27" s="4">
        <f t="shared" si="1"/>
        <v>0</v>
      </c>
    </row>
    <row r="28" spans="1:10" x14ac:dyDescent="0.25">
      <c r="A28" s="7">
        <v>27</v>
      </c>
      <c r="B28" s="1" t="s">
        <v>72</v>
      </c>
      <c r="C28" s="1" t="s">
        <v>71</v>
      </c>
      <c r="D28" s="1" t="s">
        <v>73</v>
      </c>
      <c r="E28" s="1" t="s">
        <v>112</v>
      </c>
      <c r="F28" s="4">
        <v>3</v>
      </c>
      <c r="G28" s="4"/>
      <c r="H28" s="5"/>
      <c r="I28" s="4"/>
      <c r="J28" s="4">
        <f t="shared" si="1"/>
        <v>0</v>
      </c>
    </row>
    <row r="29" spans="1:10" x14ac:dyDescent="0.25">
      <c r="A29" s="7">
        <v>28</v>
      </c>
      <c r="B29" s="1" t="s">
        <v>75</v>
      </c>
      <c r="C29" s="1" t="s">
        <v>74</v>
      </c>
      <c r="D29" s="1" t="s">
        <v>76</v>
      </c>
      <c r="E29" s="1" t="s">
        <v>113</v>
      </c>
      <c r="F29" s="4">
        <v>3</v>
      </c>
      <c r="G29" s="4">
        <v>3</v>
      </c>
      <c r="H29" s="9" t="str">
        <f>HYPERLINK("https://banlinhkiendientu.vn/amc1200b-amc1200bdwvr","LinhKienDoc")</f>
        <v>LinhKienDoc</v>
      </c>
      <c r="I29" s="4">
        <v>35000</v>
      </c>
      <c r="J29" s="4">
        <f t="shared" si="1"/>
        <v>105000</v>
      </c>
    </row>
    <row r="30" spans="1:10" x14ac:dyDescent="0.25">
      <c r="A30" s="7">
        <v>29</v>
      </c>
      <c r="B30" s="1" t="s">
        <v>78</v>
      </c>
      <c r="C30" s="1" t="s">
        <v>77</v>
      </c>
      <c r="D30" s="1" t="s">
        <v>79</v>
      </c>
      <c r="E30" s="1" t="s">
        <v>114</v>
      </c>
      <c r="F30" s="4">
        <v>3</v>
      </c>
      <c r="G30" s="4">
        <v>3</v>
      </c>
      <c r="H30" s="9" t="str">
        <f>HYPERLINK("https://linhkien.cxtvn.com/9536-mcp6486ut-eot-ic-operational-amplifiers-10mhz-sot-23-5.html","CXT")</f>
        <v>CXT</v>
      </c>
      <c r="I30" s="4">
        <v>32000</v>
      </c>
      <c r="J30" s="4">
        <f t="shared" si="1"/>
        <v>96000</v>
      </c>
    </row>
    <row r="31" spans="1:10" x14ac:dyDescent="0.25">
      <c r="A31" s="7">
        <v>30</v>
      </c>
      <c r="B31" s="1" t="s">
        <v>81</v>
      </c>
      <c r="C31" s="1" t="s">
        <v>77</v>
      </c>
      <c r="D31" s="1" t="s">
        <v>82</v>
      </c>
      <c r="E31" s="1" t="s">
        <v>80</v>
      </c>
      <c r="F31" s="4">
        <v>1</v>
      </c>
      <c r="G31" s="4">
        <v>1</v>
      </c>
      <c r="H31" s="9" t="str">
        <f>HYPERLINK("https://linhkien.cxtvn.com/4352-mcp1700t-3302ett-ic-reg-linear-33v-250ma-sot23-3.html","CXT")</f>
        <v>CXT</v>
      </c>
      <c r="I31" s="4">
        <v>15000</v>
      </c>
      <c r="J31" s="4">
        <f t="shared" si="1"/>
        <v>15000</v>
      </c>
    </row>
    <row r="32" spans="1:10" x14ac:dyDescent="0.25">
      <c r="A32" s="7">
        <v>31</v>
      </c>
      <c r="B32" s="1" t="s">
        <v>84</v>
      </c>
      <c r="C32" s="1" t="s">
        <v>77</v>
      </c>
      <c r="D32" s="1" t="s">
        <v>85</v>
      </c>
      <c r="E32" s="1" t="s">
        <v>83</v>
      </c>
      <c r="F32" s="4">
        <v>1</v>
      </c>
      <c r="G32" s="4"/>
      <c r="H32" s="5"/>
      <c r="I32" s="4"/>
      <c r="J32" s="4">
        <f t="shared" si="1"/>
        <v>0</v>
      </c>
    </row>
    <row r="33" spans="1:10" x14ac:dyDescent="0.25">
      <c r="A33" s="7">
        <v>32</v>
      </c>
      <c r="B33" s="1" t="s">
        <v>88</v>
      </c>
      <c r="C33" s="1" t="s">
        <v>87</v>
      </c>
      <c r="D33" s="1" t="s">
        <v>89</v>
      </c>
      <c r="E33" s="1" t="s">
        <v>86</v>
      </c>
      <c r="F33" s="4">
        <v>1</v>
      </c>
      <c r="G33" s="4"/>
      <c r="H33" s="5"/>
      <c r="I33" s="4"/>
      <c r="J33" s="4">
        <f t="shared" si="1"/>
        <v>0</v>
      </c>
    </row>
    <row r="34" spans="1:10" x14ac:dyDescent="0.25">
      <c r="J34" s="10">
        <f>SUM(J2:J33)</f>
        <v>273600</v>
      </c>
    </row>
  </sheetData>
  <autoFilter ref="A1:J1" xr:uid="{2C3AF766-ADFA-4A5C-BE97-9F11A96845F3}"/>
  <hyperlinks>
    <hyperlink ref="H11" r:id="rId1" display="https://linhkien.cxtvn.com/2044-bat54s-diode-schottky-02a-30v-sot-23-10c.html" xr:uid="{20B4640C-EDF7-4E99-802C-B21B47C8CA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HW.ACIM-MCU-ADAP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SAMPI Dev Kit</dc:creator>
  <cp:lastModifiedBy>SAMPI Dev Kit</cp:lastModifiedBy>
  <dcterms:created xsi:type="dcterms:W3CDTF">2025-07-08T15:31:05Z</dcterms:created>
  <dcterms:modified xsi:type="dcterms:W3CDTF">2025-07-08T16:20:37Z</dcterms:modified>
</cp:coreProperties>
</file>